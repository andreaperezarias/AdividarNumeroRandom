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130" codeName="{85106AD5-7665-2F1B-BB0A-E31DD656B090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Andrea\Documents\excel\"/>
    </mc:Choice>
  </mc:AlternateContent>
  <xr:revisionPtr revIDLastSave="0" documentId="13_ncr:1_{D0F4DF83-7564-49DF-BD11-B0E4BA164FD7}" xr6:coauthVersionLast="45" xr6:coauthVersionMax="45" xr10:uidLastSave="{00000000-0000-0000-0000-000000000000}"/>
  <bookViews>
    <workbookView xWindow="-120" yWindow="-120" windowWidth="20730" windowHeight="11160" firstSheet="2" activeTab="2" xr2:uid="{00000000-000D-0000-FFFF-FFFF00000000}"/>
  </bookViews>
  <sheets>
    <sheet name="Datos Importados" sheetId="1" state="veryHidden" r:id="rId1"/>
    <sheet name="auxiliar" sheetId="2" state="veryHidden" r:id="rId2"/>
    <sheet name="Criterios" sheetId="5" r:id="rId3"/>
    <sheet name="Resultados" sheetId="6" r:id="rId4"/>
    <sheet name="Tabla_Dinamica" sheetId="7" r:id="rId5"/>
  </sheets>
  <functionGroups builtInGroupCount="19"/>
  <definedNames>
    <definedName name="_xlnm._FilterDatabase" localSheetId="0" hidden="1">'Datos Importados'!$A$1:$G$42</definedName>
    <definedName name="_xlnm.Criteria" localSheetId="0">'Datos Importados'!$B:$B</definedName>
    <definedName name="_xlnm.Extract" localSheetId="1">auxiliar!$C$7</definedName>
    <definedName name="_xlnm.Extract" localSheetId="3">Resultados!$A$1:$G$1</definedName>
  </definedNames>
  <calcPr calcId="145621"/>
  <pivotCaches>
    <pivotCache cacheId="1" r:id="rId6"/>
  </pivotCaches>
</workbook>
</file>

<file path=xl/sharedStrings.xml><?xml version="1.0" encoding="utf-8"?>
<sst xmlns="http://schemas.openxmlformats.org/spreadsheetml/2006/main" count="235" uniqueCount="108">
  <si>
    <t>AR01</t>
  </si>
  <si>
    <t>FERRETERÍA</t>
  </si>
  <si>
    <t>DESTORNILLADOR</t>
  </si>
  <si>
    <t>ESPAÑA</t>
  </si>
  <si>
    <t>AR02</t>
  </si>
  <si>
    <t>CONFECCIÓN</t>
  </si>
  <si>
    <t>TRAJE CABALLERO</t>
  </si>
  <si>
    <t>ITALIA</t>
  </si>
  <si>
    <t>AR03</t>
  </si>
  <si>
    <t>JUGUETERÍA</t>
  </si>
  <si>
    <t>COCHE TELEDIRIGIDO</t>
  </si>
  <si>
    <t>MARRUECOS</t>
  </si>
  <si>
    <t>AR04</t>
  </si>
  <si>
    <t>DEPORTES</t>
  </si>
  <si>
    <t>RAQUETA TENIS</t>
  </si>
  <si>
    <t>USA</t>
  </si>
  <si>
    <t>AR06</t>
  </si>
  <si>
    <t>MANCUERNAS</t>
  </si>
  <si>
    <t>AR07</t>
  </si>
  <si>
    <t>SERRUCHO</t>
  </si>
  <si>
    <t>FRANCIA</t>
  </si>
  <si>
    <t>AR08</t>
  </si>
  <si>
    <t>CORREPASILLOS</t>
  </si>
  <si>
    <t>JAPÓN</t>
  </si>
  <si>
    <t>AR09</t>
  </si>
  <si>
    <t>PANTALÓN SEÑORA</t>
  </si>
  <si>
    <t>AR10</t>
  </si>
  <si>
    <t>CONSOLA VIDEO</t>
  </si>
  <si>
    <t>AR11</t>
  </si>
  <si>
    <t>CERÁMICA</t>
  </si>
  <si>
    <t>TUBOS</t>
  </si>
  <si>
    <t>CHINA</t>
  </si>
  <si>
    <t>AR12</t>
  </si>
  <si>
    <t>LLAVE INGLESA</t>
  </si>
  <si>
    <t>AR13</t>
  </si>
  <si>
    <t>CAMISA CABALLERO</t>
  </si>
  <si>
    <t>AR14</t>
  </si>
  <si>
    <t>TREN ELÉCTRICO</t>
  </si>
  <si>
    <t>AR15</t>
  </si>
  <si>
    <t>PLATO DECORATIVO</t>
  </si>
  <si>
    <t>AR16</t>
  </si>
  <si>
    <t>ALICATES</t>
  </si>
  <si>
    <t>AR17</t>
  </si>
  <si>
    <t>MUÑECA ANDADORA</t>
  </si>
  <si>
    <t>AR18</t>
  </si>
  <si>
    <t>PISTOLA OLÍMPICA</t>
  </si>
  <si>
    <t>SUECIA</t>
  </si>
  <si>
    <t>AR19</t>
  </si>
  <si>
    <t>BLUSA SRA.</t>
  </si>
  <si>
    <t>AR20</t>
  </si>
  <si>
    <t>JUEGO DE TE</t>
  </si>
  <si>
    <t>AR21</t>
  </si>
  <si>
    <t>CENICERO</t>
  </si>
  <si>
    <t>AR22</t>
  </si>
  <si>
    <t>MARTILLO</t>
  </si>
  <si>
    <t>AR23</t>
  </si>
  <si>
    <t>CAZADORA PIEL</t>
  </si>
  <si>
    <t>AR24</t>
  </si>
  <si>
    <t>BALÓN RUGBY</t>
  </si>
  <si>
    <t>AR25</t>
  </si>
  <si>
    <t>BALÓN BALONCESTO</t>
  </si>
  <si>
    <t>AR26</t>
  </si>
  <si>
    <t>FUERTE DE SOLDADOS</t>
  </si>
  <si>
    <t>AR27</t>
  </si>
  <si>
    <t>ABRIGO CABALLERO</t>
  </si>
  <si>
    <t>AR28</t>
  </si>
  <si>
    <t>BALÓN FÚTBOL</t>
  </si>
  <si>
    <t>AR29</t>
  </si>
  <si>
    <t>ABRIGO SRA</t>
  </si>
  <si>
    <t>AR30</t>
  </si>
  <si>
    <t>AR31</t>
  </si>
  <si>
    <t>PISTOLA CON SONIDOS</t>
  </si>
  <si>
    <t>AR32</t>
  </si>
  <si>
    <t>CRONÓMETRO</t>
  </si>
  <si>
    <t>AR33</t>
  </si>
  <si>
    <t>MACETA</t>
  </si>
  <si>
    <t>AR34</t>
  </si>
  <si>
    <t>OFICINA</t>
  </si>
  <si>
    <t>PIE DE LÁMPARA</t>
  </si>
  <si>
    <t>TURQUÍA</t>
  </si>
  <si>
    <t>AR35</t>
  </si>
  <si>
    <t>LIMA GRANDE</t>
  </si>
  <si>
    <t>AR36</t>
  </si>
  <si>
    <t>JUEGO DE BROCAS</t>
  </si>
  <si>
    <t>TAIWÁN</t>
  </si>
  <si>
    <t>AR37</t>
  </si>
  <si>
    <t>CINTURÓN DE PIEL</t>
  </si>
  <si>
    <t>AR38</t>
  </si>
  <si>
    <t>CAÑA DE PESCA</t>
  </si>
  <si>
    <t>AR39</t>
  </si>
  <si>
    <t>JARRA CHINA</t>
  </si>
  <si>
    <t>AR40</t>
  </si>
  <si>
    <t>BOTA ALPINISMO</t>
  </si>
  <si>
    <t>AR41</t>
  </si>
  <si>
    <t>PALAS DE PING PONG</t>
  </si>
  <si>
    <t>AR42</t>
  </si>
  <si>
    <t>SILLA DIRECTOR</t>
  </si>
  <si>
    <t>CANADA</t>
  </si>
  <si>
    <t>CÓDIGO ARTÍCULO</t>
  </si>
  <si>
    <t>SECIÓN</t>
  </si>
  <si>
    <t>NOMBRE ARTÍCULO</t>
  </si>
  <si>
    <t>PRECIO</t>
  </si>
  <si>
    <t>FECHA</t>
  </si>
  <si>
    <t>IMPORTADO</t>
  </si>
  <si>
    <t>PAÍS DE ORIGEN</t>
  </si>
  <si>
    <t>Row Labels</t>
  </si>
  <si>
    <t>Grand Total</t>
  </si>
  <si>
    <t>Sum of PRECIO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</si>
</sst>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7">
    <xf numFmtId="0" fontId="0" fillId="0" borderId="0" xfId="0"/>
    <xf numFmtId="14" fontId="0" fillId="0" borderId="0" xfId="0" applyNumberFormat="1"/>
    <xf numFmtId="0" fontId="1" fillId="0" borderId="0" xfId="0" applyFont="1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  <xf numFmtId="0" fontId="0" fillId="0" borderId="0" xfId="0" applyAlignment="1">
      <alignment horizontal="left" indent="1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ndrea" refreshedDate="43786.636102662036" createdVersion="4" refreshedVersion="6" minRefreshableVersion="3" recordCount="6" xr:uid="{00000000-000A-0000-FFFF-FFFF18000000}">
  <cacheSource type="worksheet">
    <worksheetSource ref="A1:G1048576" sheet="Resultados"/>
  </cacheSource>
  <cacheFields count="7">
    <cacheField name="CÓDIGO ARTÍCULO" numFmtId="0">
      <sharedItems containsBlank="1"/>
    </cacheField>
    <cacheField name="SECIÓN" numFmtId="0">
      <sharedItems containsBlank="1" count="7">
        <s v="DEPORTES"/>
        <m/>
        <s v="JUGUETERÍA" u="1"/>
        <s v="OFICINA" u="1"/>
        <s v="CONFECCIÓN" u="1"/>
        <s v="FERRETERÍA" u="1"/>
        <s v="CERÁMICA" u="1"/>
      </sharedItems>
    </cacheField>
    <cacheField name="NOMBRE ARTÍCULO" numFmtId="0">
      <sharedItems containsBlank="1" count="33">
        <s v="RAQUETA TENIS"/>
        <s v="MANCUERNAS"/>
        <s v="BALÓN RUGBY"/>
        <s v="CRONÓMETRO"/>
        <s v="CAÑA DE PESCA"/>
        <m/>
        <s v="COCHE TELEDIRIGIDO" u="1"/>
        <s v="CONSOLA VIDEO" u="1"/>
        <s v="TUBOS" u="1"/>
        <s v="MUÑECA ANDADORA" u="1"/>
        <s v="TRAJE CABALLERO" u="1"/>
        <s v="MARTILLO" u="1"/>
        <s v="LIMA GRANDE" u="1"/>
        <s v="MACETA" u="1"/>
        <s v="PALAS DE PING PONG" u="1"/>
        <s v="BLUSA SRA." u="1"/>
        <s v="SILLA DIRECTOR" u="1"/>
        <s v="DESTORNILLADOR" u="1"/>
        <s v="PANTALÓN SEÑORA" u="1"/>
        <s v="PLATO DECORATIVO" u="1"/>
        <s v="CINTURÓN DE PIEL" u="1"/>
        <s v="PISTOLA CON SONIDOS" u="1"/>
        <s v="SERRUCHO" u="1"/>
        <s v="ABRIGO CABALLERO" u="1"/>
        <s v="BOTA ALPINISMO" u="1"/>
        <s v="ALICATES" u="1"/>
        <s v="JARRA CHINA" u="1"/>
        <s v="CAMISA CABALLERO" u="1"/>
        <s v="LLAVE INGLESA" u="1"/>
        <s v="CAZADORA PIEL" u="1"/>
        <s v="JUEGO DE TE" u="1"/>
        <s v="ABRIGO SRA" u="1"/>
        <s v="BALÓN FÚTBOL" u="1"/>
      </sharedItems>
    </cacheField>
    <cacheField name="PRECIO" numFmtId="0">
      <sharedItems containsString="0" containsBlank="1" containsNumber="1" minValue="60" maxValue="439.1764"/>
    </cacheField>
    <cacheField name="FECHA" numFmtId="0">
      <sharedItems containsNonDate="0" containsDate="1" containsString="0" containsBlank="1" minDate="2000-02-14T00:00:00" maxDate="2002-01-04T00:00:00"/>
    </cacheField>
    <cacheField name="IMPORTADO" numFmtId="0">
      <sharedItems containsBlank="1"/>
    </cacheField>
    <cacheField name="PAÍS DE ORIGEN" numFmtId="0">
      <sharedItems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6">
  <r>
    <s v="AR04"/>
    <x v="0"/>
    <x v="0"/>
    <n v="93.469399999999993"/>
    <d v="2000-03-20T00:00:00"/>
    <b v="1"/>
    <s v="USA"/>
  </r>
  <r>
    <s v="AR06"/>
    <x v="0"/>
    <x v="1"/>
    <n v="60"/>
    <d v="2000-09-13T00:00:00"/>
    <b v="1"/>
    <s v="USA"/>
  </r>
  <r>
    <s v="AR24"/>
    <x v="0"/>
    <x v="2"/>
    <n v="111.64400000000001"/>
    <d v="2000-11-11T00:00:00"/>
    <b v="1"/>
    <s v="USA"/>
  </r>
  <r>
    <s v="AR32"/>
    <x v="0"/>
    <x v="3"/>
    <n v="439.1764"/>
    <d v="2002-01-03T00:00:00"/>
    <b v="1"/>
    <s v="USA"/>
  </r>
  <r>
    <s v="AR38"/>
    <x v="0"/>
    <x v="4"/>
    <n v="270"/>
    <d v="2000-02-14T00:00:00"/>
    <b v="1"/>
    <s v="USA"/>
  </r>
  <r>
    <m/>
    <x v="1"/>
    <x v="5"/>
    <m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400-000000000000}" name="PivotTable1" cacheId="1" applyNumberFormats="0" applyBorderFormats="0" applyFontFormats="0" applyPatternFormats="0" applyAlignmentFormats="0" applyWidthHeightFormats="1" dataCaption="Valores" updatedVersion="6" minRefreshableVersion="3" useAutoFormatting="1" itemPrintTitles="1" createdVersion="4" indent="0" outline="1" outlineData="1" multipleFieldFilters="0" chartFormat="4">
  <location ref="A1:B8" firstHeaderRow="1" firstDataRow="1" firstDataCol="1"/>
  <pivotFields count="7">
    <pivotField showAll="0"/>
    <pivotField axis="axisRow" showAll="0">
      <items count="8">
        <item m="1" x="4"/>
        <item m="1" x="5"/>
        <item h="1" x="1"/>
        <item x="0"/>
        <item m="1" x="2"/>
        <item m="1" x="6"/>
        <item m="1" x="3"/>
        <item t="default"/>
      </items>
    </pivotField>
    <pivotField axis="axisRow" showAll="0">
      <items count="34">
        <item m="1" x="23"/>
        <item m="1" x="25"/>
        <item m="1" x="29"/>
        <item m="1" x="10"/>
        <item x="5"/>
        <item x="0"/>
        <item x="1"/>
        <item m="1" x="7"/>
        <item m="1" x="28"/>
        <item x="2"/>
        <item x="3"/>
        <item x="4"/>
        <item m="1" x="22"/>
        <item m="1" x="17"/>
        <item m="1" x="6"/>
        <item m="1" x="18"/>
        <item m="1" x="31"/>
        <item m="1" x="8"/>
        <item m="1" x="19"/>
        <item m="1" x="30"/>
        <item m="1" x="26"/>
        <item m="1" x="15"/>
        <item m="1" x="13"/>
        <item m="1" x="27"/>
        <item m="1" x="9"/>
        <item m="1" x="11"/>
        <item m="1" x="32"/>
        <item m="1" x="21"/>
        <item m="1" x="12"/>
        <item m="1" x="20"/>
        <item m="1" x="24"/>
        <item m="1" x="14"/>
        <item m="1" x="16"/>
        <item t="default"/>
      </items>
    </pivotField>
    <pivotField dataField="1" showAll="0"/>
    <pivotField showAll="0"/>
    <pivotField showAll="0"/>
    <pivotField showAll="0"/>
  </pivotFields>
  <rowFields count="2">
    <field x="1"/>
    <field x="2"/>
  </rowFields>
  <rowItems count="7">
    <i>
      <x v="3"/>
    </i>
    <i r="1">
      <x v="5"/>
    </i>
    <i r="1">
      <x v="6"/>
    </i>
    <i r="1">
      <x v="9"/>
    </i>
    <i r="1">
      <x v="10"/>
    </i>
    <i r="1">
      <x v="11"/>
    </i>
    <i t="grand">
      <x/>
    </i>
  </rowItems>
  <colItems count="1">
    <i/>
  </colItems>
  <dataFields count="1">
    <dataField name="Sum of PRECIO" fld="3" baseField="2" baseItem="8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datos_importados"/>
  <dimension ref="A1:G42"/>
  <sheetViews>
    <sheetView workbookViewId="0">
      <selection sqref="A1:G42"/>
    </sheetView>
  </sheetViews>
  <sheetFormatPr defaultColWidth="11.42578125" defaultRowHeight="15" x14ac:dyDescent="0.25"/>
  <cols>
    <col min="1" max="1" width="21.42578125" bestFit="1" customWidth="1"/>
    <col min="3" max="3" width="22.28515625" bestFit="1" customWidth="1"/>
    <col min="6" max="6" width="14.7109375" bestFit="1" customWidth="1"/>
    <col min="7" max="7" width="18.28515625" bestFit="1" customWidth="1"/>
  </cols>
  <sheetData>
    <row r="1" spans="1:7" s="2" customFormat="1" ht="18.75" x14ac:dyDescent="0.3">
      <c r="A1" s="2" t="s">
        <v>98</v>
      </c>
      <c r="B1" s="2" t="s">
        <v>99</v>
      </c>
      <c r="C1" s="2" t="s">
        <v>100</v>
      </c>
      <c r="D1" s="2" t="s">
        <v>101</v>
      </c>
      <c r="E1" s="2" t="s">
        <v>102</v>
      </c>
      <c r="F1" s="2" t="s">
        <v>103</v>
      </c>
      <c r="G1" s="2" t="s">
        <v>104</v>
      </c>
    </row>
    <row r="2" spans="1:7" x14ac:dyDescent="0.25">
      <c r="A2" t="s">
        <v>0</v>
      </c>
      <c r="B2" t="s">
        <v>1</v>
      </c>
      <c r="C2" t="s">
        <v>2</v>
      </c>
      <c r="D2">
        <v>6.6280000000000001</v>
      </c>
      <c r="E2" s="1">
        <v>36821</v>
      </c>
      <c r="F2" t="b">
        <v>0</v>
      </c>
      <c r="G2" t="s">
        <v>3</v>
      </c>
    </row>
    <row r="3" spans="1:7" x14ac:dyDescent="0.25">
      <c r="A3" t="s">
        <v>4</v>
      </c>
      <c r="B3" t="s">
        <v>5</v>
      </c>
      <c r="C3" t="s">
        <v>6</v>
      </c>
      <c r="D3">
        <v>284.57690000000002</v>
      </c>
      <c r="E3" s="1">
        <v>37326</v>
      </c>
      <c r="F3" t="b">
        <v>1</v>
      </c>
      <c r="G3" t="s">
        <v>7</v>
      </c>
    </row>
    <row r="4" spans="1:7" x14ac:dyDescent="0.25">
      <c r="A4" t="s">
        <v>8</v>
      </c>
      <c r="B4" t="s">
        <v>9</v>
      </c>
      <c r="C4" t="s">
        <v>10</v>
      </c>
      <c r="D4">
        <v>159.4462</v>
      </c>
      <c r="E4" s="1">
        <v>37402</v>
      </c>
      <c r="F4" t="b">
        <v>1</v>
      </c>
      <c r="G4" t="s">
        <v>11</v>
      </c>
    </row>
    <row r="5" spans="1:7" x14ac:dyDescent="0.25">
      <c r="A5" t="s">
        <v>12</v>
      </c>
      <c r="B5" t="s">
        <v>13</v>
      </c>
      <c r="C5" t="s">
        <v>14</v>
      </c>
      <c r="D5">
        <v>93.469399999999993</v>
      </c>
      <c r="E5" s="1">
        <v>36605</v>
      </c>
      <c r="F5" t="b">
        <v>1</v>
      </c>
      <c r="G5" t="s">
        <v>15</v>
      </c>
    </row>
    <row r="6" spans="1:7" x14ac:dyDescent="0.25">
      <c r="A6" t="s">
        <v>16</v>
      </c>
      <c r="B6" t="s">
        <v>13</v>
      </c>
      <c r="C6" t="s">
        <v>17</v>
      </c>
      <c r="D6">
        <v>60</v>
      </c>
      <c r="E6" s="1">
        <v>36782</v>
      </c>
      <c r="F6" t="b">
        <v>1</v>
      </c>
      <c r="G6" t="s">
        <v>15</v>
      </c>
    </row>
    <row r="7" spans="1:7" x14ac:dyDescent="0.25">
      <c r="A7" t="s">
        <v>18</v>
      </c>
      <c r="B7" t="s">
        <v>5</v>
      </c>
      <c r="C7" t="s">
        <v>19</v>
      </c>
      <c r="D7">
        <v>30.204499999999999</v>
      </c>
      <c r="E7" s="1">
        <v>36973</v>
      </c>
      <c r="F7" t="b">
        <v>1</v>
      </c>
      <c r="G7" t="s">
        <v>20</v>
      </c>
    </row>
    <row r="8" spans="1:7" x14ac:dyDescent="0.25">
      <c r="A8" t="s">
        <v>21</v>
      </c>
      <c r="B8" t="s">
        <v>9</v>
      </c>
      <c r="C8" t="s">
        <v>22</v>
      </c>
      <c r="D8">
        <v>103.3356</v>
      </c>
      <c r="E8" s="1">
        <v>36627</v>
      </c>
      <c r="F8" t="b">
        <v>1</v>
      </c>
      <c r="G8" t="s">
        <v>23</v>
      </c>
    </row>
    <row r="9" spans="1:7" x14ac:dyDescent="0.25">
      <c r="A9" t="s">
        <v>24</v>
      </c>
      <c r="B9" t="s">
        <v>5</v>
      </c>
      <c r="C9" t="s">
        <v>25</v>
      </c>
      <c r="D9">
        <v>174.23099999999999</v>
      </c>
      <c r="E9" s="1">
        <v>36535</v>
      </c>
      <c r="F9" t="b">
        <v>1</v>
      </c>
      <c r="G9" t="s">
        <v>11</v>
      </c>
    </row>
    <row r="10" spans="1:7" x14ac:dyDescent="0.25">
      <c r="A10" t="s">
        <v>26</v>
      </c>
      <c r="B10" t="s">
        <v>9</v>
      </c>
      <c r="C10" t="s">
        <v>27</v>
      </c>
      <c r="D10">
        <v>442.5444</v>
      </c>
      <c r="E10" s="1">
        <v>37523</v>
      </c>
      <c r="F10" t="b">
        <v>1</v>
      </c>
      <c r="G10" t="s">
        <v>15</v>
      </c>
    </row>
    <row r="11" spans="1:7" x14ac:dyDescent="0.25">
      <c r="A11" t="s">
        <v>28</v>
      </c>
      <c r="B11" t="s">
        <v>29</v>
      </c>
      <c r="C11" t="s">
        <v>30</v>
      </c>
      <c r="D11">
        <v>168.42529999999999</v>
      </c>
      <c r="E11" s="1">
        <v>36560</v>
      </c>
      <c r="F11" t="b">
        <v>1</v>
      </c>
      <c r="G11" t="s">
        <v>31</v>
      </c>
    </row>
    <row r="12" spans="1:7" x14ac:dyDescent="0.25">
      <c r="A12" t="s">
        <v>32</v>
      </c>
      <c r="B12" t="s">
        <v>1</v>
      </c>
      <c r="C12" t="s">
        <v>33</v>
      </c>
      <c r="D12">
        <v>24.398599999999998</v>
      </c>
      <c r="E12" s="1">
        <v>37034</v>
      </c>
      <c r="F12" t="b">
        <v>1</v>
      </c>
      <c r="G12" t="s">
        <v>15</v>
      </c>
    </row>
    <row r="13" spans="1:7" x14ac:dyDescent="0.25">
      <c r="A13" t="s">
        <v>34</v>
      </c>
      <c r="B13" t="s">
        <v>5</v>
      </c>
      <c r="C13" t="s">
        <v>35</v>
      </c>
      <c r="D13">
        <v>67.130600000000001</v>
      </c>
      <c r="E13" s="1">
        <v>37479</v>
      </c>
      <c r="F13" t="b">
        <v>0</v>
      </c>
      <c r="G13" t="s">
        <v>3</v>
      </c>
    </row>
    <row r="14" spans="1:7" x14ac:dyDescent="0.25">
      <c r="A14" t="s">
        <v>36</v>
      </c>
      <c r="B14" t="s">
        <v>9</v>
      </c>
      <c r="C14" t="s">
        <v>37</v>
      </c>
      <c r="D14">
        <v>1505.3766000000001</v>
      </c>
      <c r="E14" s="1">
        <v>37075</v>
      </c>
      <c r="F14" t="b">
        <v>1</v>
      </c>
      <c r="G14" t="s">
        <v>23</v>
      </c>
    </row>
    <row r="15" spans="1:7" x14ac:dyDescent="0.25">
      <c r="A15" t="s">
        <v>38</v>
      </c>
      <c r="B15" t="s">
        <v>29</v>
      </c>
      <c r="C15" t="s">
        <v>39</v>
      </c>
      <c r="D15">
        <v>54.091099999999997</v>
      </c>
      <c r="E15" s="1">
        <v>36684</v>
      </c>
      <c r="F15" t="b">
        <v>1</v>
      </c>
      <c r="G15" t="s">
        <v>31</v>
      </c>
    </row>
    <row r="16" spans="1:7" x14ac:dyDescent="0.25">
      <c r="A16" t="s">
        <v>40</v>
      </c>
      <c r="B16" t="s">
        <v>1</v>
      </c>
      <c r="C16" t="s">
        <v>41</v>
      </c>
      <c r="D16">
        <v>6.7362000000000002</v>
      </c>
      <c r="E16" s="1">
        <v>36633</v>
      </c>
      <c r="F16" t="b">
        <v>1</v>
      </c>
      <c r="G16" t="s">
        <v>7</v>
      </c>
    </row>
    <row r="17" spans="1:7" x14ac:dyDescent="0.25">
      <c r="A17" t="s">
        <v>42</v>
      </c>
      <c r="B17" t="s">
        <v>9</v>
      </c>
      <c r="C17" t="s">
        <v>43</v>
      </c>
      <c r="D17">
        <v>105.05929999999999</v>
      </c>
      <c r="E17" s="1">
        <v>36895</v>
      </c>
      <c r="F17" t="b">
        <v>0</v>
      </c>
      <c r="G17" t="s">
        <v>3</v>
      </c>
    </row>
    <row r="18" spans="1:7" x14ac:dyDescent="0.25">
      <c r="A18" t="s">
        <v>44</v>
      </c>
      <c r="B18" t="s">
        <v>13</v>
      </c>
      <c r="C18" t="s">
        <v>45</v>
      </c>
      <c r="D18">
        <v>46.734699999999997</v>
      </c>
      <c r="E18" s="1">
        <v>36924</v>
      </c>
      <c r="F18" t="b">
        <v>1</v>
      </c>
      <c r="G18" t="s">
        <v>46</v>
      </c>
    </row>
    <row r="19" spans="1:7" x14ac:dyDescent="0.25">
      <c r="A19" t="s">
        <v>47</v>
      </c>
      <c r="B19" t="s">
        <v>5</v>
      </c>
      <c r="C19" t="s">
        <v>48</v>
      </c>
      <c r="D19">
        <v>101.0566</v>
      </c>
      <c r="E19" s="1">
        <v>36603</v>
      </c>
      <c r="F19" t="b">
        <v>1</v>
      </c>
      <c r="G19" t="s">
        <v>31</v>
      </c>
    </row>
    <row r="20" spans="1:7" x14ac:dyDescent="0.25">
      <c r="A20" t="s">
        <v>49</v>
      </c>
      <c r="B20" t="s">
        <v>29</v>
      </c>
      <c r="C20" t="s">
        <v>50</v>
      </c>
      <c r="D20">
        <v>43.272799999999997</v>
      </c>
      <c r="E20" s="1">
        <v>36906</v>
      </c>
      <c r="F20" t="b">
        <v>1</v>
      </c>
      <c r="G20" t="s">
        <v>31</v>
      </c>
    </row>
    <row r="21" spans="1:7" x14ac:dyDescent="0.25">
      <c r="A21" t="s">
        <v>51</v>
      </c>
      <c r="B21" t="s">
        <v>29</v>
      </c>
      <c r="C21" t="s">
        <v>52</v>
      </c>
      <c r="D21">
        <v>19.7468</v>
      </c>
      <c r="E21" s="1">
        <v>37074</v>
      </c>
      <c r="F21" t="b">
        <v>1</v>
      </c>
      <c r="G21" t="s">
        <v>23</v>
      </c>
    </row>
    <row r="22" spans="1:7" x14ac:dyDescent="0.25">
      <c r="A22" t="s">
        <v>53</v>
      </c>
      <c r="B22" t="s">
        <v>1</v>
      </c>
      <c r="C22" t="s">
        <v>54</v>
      </c>
      <c r="D22">
        <v>11.395200000000001</v>
      </c>
      <c r="E22" s="1">
        <v>37138</v>
      </c>
      <c r="F22" t="b">
        <v>0</v>
      </c>
      <c r="G22" t="s">
        <v>3</v>
      </c>
    </row>
    <row r="23" spans="1:7" x14ac:dyDescent="0.25">
      <c r="A23" t="s">
        <v>55</v>
      </c>
      <c r="B23" t="s">
        <v>5</v>
      </c>
      <c r="C23" t="s">
        <v>56</v>
      </c>
      <c r="D23">
        <v>522.69299999999998</v>
      </c>
      <c r="E23" s="1">
        <v>37082</v>
      </c>
      <c r="F23" t="b">
        <v>1</v>
      </c>
      <c r="G23" t="s">
        <v>7</v>
      </c>
    </row>
    <row r="24" spans="1:7" x14ac:dyDescent="0.25">
      <c r="A24" t="s">
        <v>57</v>
      </c>
      <c r="B24" t="s">
        <v>13</v>
      </c>
      <c r="C24" t="s">
        <v>58</v>
      </c>
      <c r="D24">
        <v>111.64400000000001</v>
      </c>
      <c r="E24" s="1">
        <v>36841</v>
      </c>
      <c r="F24" t="b">
        <v>1</v>
      </c>
      <c r="G24" t="s">
        <v>15</v>
      </c>
    </row>
    <row r="25" spans="1:7" x14ac:dyDescent="0.25">
      <c r="A25" t="s">
        <v>59</v>
      </c>
      <c r="B25" t="s">
        <v>13</v>
      </c>
      <c r="C25" t="s">
        <v>60</v>
      </c>
      <c r="D25">
        <v>75.273099999999999</v>
      </c>
      <c r="E25" s="1">
        <v>37067</v>
      </c>
      <c r="F25" t="b">
        <v>1</v>
      </c>
      <c r="G25" t="s">
        <v>23</v>
      </c>
    </row>
    <row r="26" spans="1:7" x14ac:dyDescent="0.25">
      <c r="A26" t="s">
        <v>61</v>
      </c>
      <c r="B26" t="s">
        <v>9</v>
      </c>
      <c r="C26" t="s">
        <v>62</v>
      </c>
      <c r="D26">
        <v>143.702</v>
      </c>
      <c r="E26" s="1">
        <v>36855</v>
      </c>
      <c r="F26" t="b">
        <v>1</v>
      </c>
      <c r="G26" t="s">
        <v>23</v>
      </c>
    </row>
    <row r="27" spans="1:7" x14ac:dyDescent="0.25">
      <c r="A27" t="s">
        <v>63</v>
      </c>
      <c r="B27" t="s">
        <v>5</v>
      </c>
      <c r="C27" t="s">
        <v>64</v>
      </c>
      <c r="D27">
        <v>500000</v>
      </c>
      <c r="E27" s="1">
        <v>37351</v>
      </c>
      <c r="F27" t="b">
        <v>1</v>
      </c>
      <c r="G27" t="s">
        <v>7</v>
      </c>
    </row>
    <row r="28" spans="1:7" x14ac:dyDescent="0.25">
      <c r="A28" t="s">
        <v>65</v>
      </c>
      <c r="B28" t="s">
        <v>13</v>
      </c>
      <c r="C28" t="s">
        <v>66</v>
      </c>
      <c r="D28">
        <v>43.914700000000003</v>
      </c>
      <c r="E28" s="1">
        <v>37441</v>
      </c>
      <c r="F28" t="b">
        <v>0</v>
      </c>
      <c r="G28" t="s">
        <v>3</v>
      </c>
    </row>
    <row r="29" spans="1:7" x14ac:dyDescent="0.25">
      <c r="A29" t="s">
        <v>67</v>
      </c>
      <c r="B29" t="s">
        <v>5</v>
      </c>
      <c r="C29" t="s">
        <v>68</v>
      </c>
      <c r="D29">
        <v>360.0736</v>
      </c>
      <c r="E29" s="1">
        <v>37014</v>
      </c>
      <c r="F29" t="b">
        <v>1</v>
      </c>
      <c r="G29" t="s">
        <v>11</v>
      </c>
    </row>
    <row r="30" spans="1:7" x14ac:dyDescent="0.25">
      <c r="A30" t="s">
        <v>69</v>
      </c>
      <c r="B30" t="s">
        <v>1</v>
      </c>
      <c r="C30" t="s">
        <v>2</v>
      </c>
      <c r="D30">
        <v>9.0584000000000007</v>
      </c>
      <c r="E30" s="1">
        <v>37307</v>
      </c>
      <c r="F30" t="b">
        <v>1</v>
      </c>
      <c r="G30" t="s">
        <v>20</v>
      </c>
    </row>
    <row r="31" spans="1:7" x14ac:dyDescent="0.25">
      <c r="A31" t="s">
        <v>70</v>
      </c>
      <c r="B31" t="s">
        <v>9</v>
      </c>
      <c r="C31" t="s">
        <v>71</v>
      </c>
      <c r="D31">
        <v>57.25</v>
      </c>
      <c r="E31" s="1">
        <v>36996</v>
      </c>
      <c r="F31" t="b">
        <v>0</v>
      </c>
      <c r="G31" t="s">
        <v>3</v>
      </c>
    </row>
    <row r="32" spans="1:7" x14ac:dyDescent="0.25">
      <c r="A32" t="s">
        <v>72</v>
      </c>
      <c r="B32" t="s">
        <v>13</v>
      </c>
      <c r="C32" t="s">
        <v>73</v>
      </c>
      <c r="D32">
        <v>439.1764</v>
      </c>
      <c r="E32" s="1">
        <v>37259</v>
      </c>
      <c r="F32" t="b">
        <v>1</v>
      </c>
      <c r="G32" t="s">
        <v>15</v>
      </c>
    </row>
    <row r="33" spans="1:7" x14ac:dyDescent="0.25">
      <c r="A33" t="s">
        <v>74</v>
      </c>
      <c r="B33" t="s">
        <v>29</v>
      </c>
      <c r="C33" t="s">
        <v>75</v>
      </c>
      <c r="D33">
        <v>29.043399999999998</v>
      </c>
      <c r="E33" s="1">
        <v>36579</v>
      </c>
      <c r="F33" t="b">
        <v>0</v>
      </c>
      <c r="G33" t="s">
        <v>3</v>
      </c>
    </row>
    <row r="34" spans="1:7" x14ac:dyDescent="0.25">
      <c r="A34" t="s">
        <v>76</v>
      </c>
      <c r="B34" t="s">
        <v>77</v>
      </c>
      <c r="C34" t="s">
        <v>78</v>
      </c>
      <c r="D34">
        <v>39.760599999999997</v>
      </c>
      <c r="E34" s="1">
        <v>37038</v>
      </c>
      <c r="F34" t="b">
        <v>1</v>
      </c>
      <c r="G34" t="s">
        <v>79</v>
      </c>
    </row>
    <row r="35" spans="1:7" x14ac:dyDescent="0.25">
      <c r="A35" t="s">
        <v>80</v>
      </c>
      <c r="B35" t="s">
        <v>1</v>
      </c>
      <c r="C35" t="s">
        <v>81</v>
      </c>
      <c r="D35">
        <v>22.069199999999999</v>
      </c>
      <c r="E35" s="1">
        <v>37478</v>
      </c>
      <c r="F35" t="b">
        <v>0</v>
      </c>
      <c r="G35" t="s">
        <v>3</v>
      </c>
    </row>
    <row r="36" spans="1:7" x14ac:dyDescent="0.25">
      <c r="A36" t="s">
        <v>82</v>
      </c>
      <c r="B36" t="s">
        <v>1</v>
      </c>
      <c r="C36" t="s">
        <v>83</v>
      </c>
      <c r="D36">
        <v>15.095000000000001</v>
      </c>
      <c r="E36" s="1">
        <v>37441</v>
      </c>
      <c r="F36" t="b">
        <v>1</v>
      </c>
      <c r="G36" t="s">
        <v>84</v>
      </c>
    </row>
    <row r="37" spans="1:7" x14ac:dyDescent="0.25">
      <c r="A37" t="s">
        <v>85</v>
      </c>
      <c r="B37" t="s">
        <v>5</v>
      </c>
      <c r="C37" t="s">
        <v>86</v>
      </c>
      <c r="D37">
        <v>4.3273000000000001</v>
      </c>
      <c r="E37" s="1">
        <v>37388</v>
      </c>
      <c r="F37" t="b">
        <v>0</v>
      </c>
      <c r="G37" t="s">
        <v>3</v>
      </c>
    </row>
    <row r="38" spans="1:7" x14ac:dyDescent="0.25">
      <c r="A38" t="s">
        <v>87</v>
      </c>
      <c r="B38" t="s">
        <v>13</v>
      </c>
      <c r="C38" t="s">
        <v>88</v>
      </c>
      <c r="D38">
        <v>270</v>
      </c>
      <c r="E38" s="1">
        <v>36570</v>
      </c>
      <c r="F38" t="b">
        <v>1</v>
      </c>
      <c r="G38" t="s">
        <v>15</v>
      </c>
    </row>
    <row r="39" spans="1:7" x14ac:dyDescent="0.25">
      <c r="A39" t="s">
        <v>89</v>
      </c>
      <c r="B39" t="s">
        <v>29</v>
      </c>
      <c r="C39" t="s">
        <v>90</v>
      </c>
      <c r="D39">
        <v>127.7704</v>
      </c>
      <c r="E39" s="1">
        <v>37501</v>
      </c>
      <c r="F39" t="b">
        <v>1</v>
      </c>
      <c r="G39" t="s">
        <v>31</v>
      </c>
    </row>
    <row r="40" spans="1:7" x14ac:dyDescent="0.25">
      <c r="A40" t="s">
        <v>91</v>
      </c>
      <c r="B40" t="s">
        <v>13</v>
      </c>
      <c r="C40" t="s">
        <v>92</v>
      </c>
      <c r="D40">
        <v>144</v>
      </c>
      <c r="E40" s="1">
        <v>37381</v>
      </c>
      <c r="F40" t="b">
        <v>0</v>
      </c>
      <c r="G40" t="s">
        <v>3</v>
      </c>
    </row>
    <row r="41" spans="1:7" x14ac:dyDescent="0.25">
      <c r="A41" t="s">
        <v>93</v>
      </c>
      <c r="B41" t="s">
        <v>13</v>
      </c>
      <c r="C41" t="s">
        <v>94</v>
      </c>
      <c r="D41">
        <v>21.6</v>
      </c>
      <c r="E41" s="1">
        <v>37289</v>
      </c>
      <c r="F41" t="b">
        <v>0</v>
      </c>
      <c r="G41" t="s">
        <v>3</v>
      </c>
    </row>
    <row r="42" spans="1:7" x14ac:dyDescent="0.25">
      <c r="A42" t="s">
        <v>95</v>
      </c>
      <c r="B42" t="s">
        <v>77</v>
      </c>
      <c r="C42" t="s">
        <v>96</v>
      </c>
      <c r="D42">
        <v>195</v>
      </c>
      <c r="E42" s="1">
        <v>41491</v>
      </c>
      <c r="F42" t="b">
        <v>0</v>
      </c>
      <c r="G42" t="s">
        <v>97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_Auxiliar"/>
  <dimension ref="A7:C18"/>
  <sheetViews>
    <sheetView workbookViewId="0">
      <selection activeCell="C8" sqref="C8:C18"/>
    </sheetView>
  </sheetViews>
  <sheetFormatPr defaultColWidth="11.42578125" defaultRowHeight="15" x14ac:dyDescent="0.25"/>
  <cols>
    <col min="3" max="3" width="18.28515625" bestFit="1" customWidth="1"/>
  </cols>
  <sheetData>
    <row r="7" spans="1:3" ht="14.45" customHeight="1" x14ac:dyDescent="0.3">
      <c r="A7" s="2" t="s">
        <v>99</v>
      </c>
      <c r="C7" s="2" t="s">
        <v>104</v>
      </c>
    </row>
    <row r="8" spans="1:3" x14ac:dyDescent="0.25">
      <c r="A8" t="s">
        <v>1</v>
      </c>
      <c r="C8" t="s">
        <v>3</v>
      </c>
    </row>
    <row r="9" spans="1:3" x14ac:dyDescent="0.25">
      <c r="A9" t="s">
        <v>5</v>
      </c>
      <c r="C9" t="s">
        <v>7</v>
      </c>
    </row>
    <row r="10" spans="1:3" x14ac:dyDescent="0.25">
      <c r="A10" t="s">
        <v>9</v>
      </c>
      <c r="C10" t="s">
        <v>11</v>
      </c>
    </row>
    <row r="11" spans="1:3" x14ac:dyDescent="0.25">
      <c r="A11" t="s">
        <v>13</v>
      </c>
      <c r="C11" t="s">
        <v>15</v>
      </c>
    </row>
    <row r="12" spans="1:3" x14ac:dyDescent="0.25">
      <c r="A12" t="s">
        <v>29</v>
      </c>
      <c r="C12" t="s">
        <v>20</v>
      </c>
    </row>
    <row r="13" spans="1:3" x14ac:dyDescent="0.25">
      <c r="A13" t="s">
        <v>77</v>
      </c>
      <c r="C13" t="s">
        <v>23</v>
      </c>
    </row>
    <row r="14" spans="1:3" x14ac:dyDescent="0.25">
      <c r="C14" t="s">
        <v>31</v>
      </c>
    </row>
    <row r="15" spans="1:3" x14ac:dyDescent="0.25">
      <c r="C15" t="s">
        <v>46</v>
      </c>
    </row>
    <row r="16" spans="1:3" x14ac:dyDescent="0.25">
      <c r="C16" t="s">
        <v>79</v>
      </c>
    </row>
    <row r="17" spans="3:3" x14ac:dyDescent="0.25">
      <c r="C17" t="s">
        <v>84</v>
      </c>
    </row>
    <row r="18" spans="3:3" x14ac:dyDescent="0.25">
      <c r="C18" t="s">
        <v>97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_Criterios"/>
  <dimension ref="A1:G2"/>
  <sheetViews>
    <sheetView tabSelected="1" workbookViewId="0">
      <selection sqref="A1:XFD1"/>
    </sheetView>
  </sheetViews>
  <sheetFormatPr defaultColWidth="11.42578125" defaultRowHeight="15" x14ac:dyDescent="0.25"/>
  <cols>
    <col min="1" max="1" width="21.42578125" bestFit="1" customWidth="1"/>
    <col min="3" max="3" width="22.28515625" bestFit="1" customWidth="1"/>
    <col min="6" max="6" width="14.7109375" bestFit="1" customWidth="1"/>
    <col min="7" max="7" width="18.28515625" bestFit="1" customWidth="1"/>
  </cols>
  <sheetData>
    <row r="1" spans="1:7" s="2" customFormat="1" ht="18.75" x14ac:dyDescent="0.3">
      <c r="A1" s="2" t="s">
        <v>98</v>
      </c>
      <c r="B1" s="2" t="s">
        <v>99</v>
      </c>
      <c r="C1" s="2" t="s">
        <v>100</v>
      </c>
      <c r="D1" s="2" t="s">
        <v>101</v>
      </c>
      <c r="E1" s="2" t="s">
        <v>102</v>
      </c>
      <c r="F1" s="2" t="s">
        <v>103</v>
      </c>
      <c r="G1" s="2" t="s">
        <v>104</v>
      </c>
    </row>
    <row r="2" spans="1:7" x14ac:dyDescent="0.25">
      <c r="B2" t="s">
        <v>13</v>
      </c>
      <c r="G2" t="s">
        <v>15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_Resultados"/>
  <dimension ref="A1:G6"/>
  <sheetViews>
    <sheetView workbookViewId="0">
      <selection activeCell="B2" sqref="B2:B6"/>
    </sheetView>
  </sheetViews>
  <sheetFormatPr defaultColWidth="11.42578125" defaultRowHeight="15" x14ac:dyDescent="0.25"/>
  <cols>
    <col min="1" max="1" width="21.42578125" bestFit="1" customWidth="1"/>
    <col min="3" max="3" width="22.28515625" bestFit="1" customWidth="1"/>
    <col min="6" max="6" width="14.7109375" bestFit="1" customWidth="1"/>
  </cols>
  <sheetData>
    <row r="1" spans="1:7" ht="18.75" x14ac:dyDescent="0.3">
      <c r="A1" s="2" t="s">
        <v>98</v>
      </c>
      <c r="B1" s="2" t="s">
        <v>99</v>
      </c>
      <c r="C1" s="2" t="s">
        <v>100</v>
      </c>
      <c r="D1" s="2" t="s">
        <v>101</v>
      </c>
      <c r="E1" s="2" t="s">
        <v>102</v>
      </c>
      <c r="F1" s="2" t="s">
        <v>103</v>
      </c>
      <c r="G1" s="2" t="s">
        <v>104</v>
      </c>
    </row>
    <row r="2" spans="1:7" x14ac:dyDescent="0.25">
      <c r="A2" t="s">
        <v>12</v>
      </c>
      <c r="B2" t="s">
        <v>13</v>
      </c>
      <c r="C2" t="s">
        <v>14</v>
      </c>
      <c r="D2">
        <v>93.469399999999993</v>
      </c>
      <c r="E2" s="1">
        <v>36605</v>
      </c>
      <c r="F2" t="b">
        <v>1</v>
      </c>
      <c r="G2" t="s">
        <v>15</v>
      </c>
    </row>
    <row r="3" spans="1:7" x14ac:dyDescent="0.25">
      <c r="A3" t="s">
        <v>16</v>
      </c>
      <c r="B3" t="s">
        <v>13</v>
      </c>
      <c r="C3" t="s">
        <v>17</v>
      </c>
      <c r="D3">
        <v>60</v>
      </c>
      <c r="E3" s="1">
        <v>36782</v>
      </c>
      <c r="F3" t="b">
        <v>1</v>
      </c>
      <c r="G3" t="s">
        <v>15</v>
      </c>
    </row>
    <row r="4" spans="1:7" x14ac:dyDescent="0.25">
      <c r="A4" t="s">
        <v>57</v>
      </c>
      <c r="B4" t="s">
        <v>13</v>
      </c>
      <c r="C4" t="s">
        <v>58</v>
      </c>
      <c r="D4">
        <v>111.64400000000001</v>
      </c>
      <c r="E4" s="1">
        <v>36841</v>
      </c>
      <c r="F4" t="b">
        <v>1</v>
      </c>
      <c r="G4" t="s">
        <v>15</v>
      </c>
    </row>
    <row r="5" spans="1:7" x14ac:dyDescent="0.25">
      <c r="A5" t="s">
        <v>72</v>
      </c>
      <c r="B5" t="s">
        <v>13</v>
      </c>
      <c r="C5" t="s">
        <v>73</v>
      </c>
      <c r="D5">
        <v>439.1764</v>
      </c>
      <c r="E5" s="1">
        <v>37259</v>
      </c>
      <c r="F5" t="b">
        <v>1</v>
      </c>
      <c r="G5" t="s">
        <v>15</v>
      </c>
    </row>
    <row r="6" spans="1:7" x14ac:dyDescent="0.25">
      <c r="A6" t="s">
        <v>87</v>
      </c>
      <c r="B6" t="s">
        <v>13</v>
      </c>
      <c r="C6" t="s">
        <v>88</v>
      </c>
      <c r="D6">
        <v>270</v>
      </c>
      <c r="E6" s="1">
        <v>36570</v>
      </c>
      <c r="F6" t="b">
        <v>1</v>
      </c>
      <c r="G6" t="s">
        <v>15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H_Dinamica"/>
  <dimension ref="A1:B8"/>
  <sheetViews>
    <sheetView workbookViewId="0">
      <selection activeCell="A4" sqref="A4"/>
    </sheetView>
  </sheetViews>
  <sheetFormatPr defaultColWidth="11.42578125" defaultRowHeight="15" x14ac:dyDescent="0.25"/>
  <cols>
    <col min="1" max="1" width="18.7109375" bestFit="1" customWidth="1"/>
    <col min="2" max="2" width="14.140625" bestFit="1" customWidth="1"/>
    <col min="3" max="3" width="11.28515625" bestFit="1" customWidth="1"/>
    <col min="4" max="4" width="11.85546875" customWidth="1"/>
    <col min="5" max="5" width="11.85546875" bestFit="1" customWidth="1"/>
    <col min="6" max="6" width="10.140625" bestFit="1" customWidth="1"/>
    <col min="7" max="7" width="11.85546875" bestFit="1" customWidth="1"/>
  </cols>
  <sheetData>
    <row r="1" spans="1:2" x14ac:dyDescent="0.25">
      <c r="A1" s="3" t="s">
        <v>105</v>
      </c>
      <c r="B1" t="s">
        <v>107</v>
      </c>
    </row>
    <row r="2" spans="1:2" x14ac:dyDescent="0.25">
      <c r="A2" s="4" t="s">
        <v>13</v>
      </c>
      <c r="B2" s="5">
        <v>974.28980000000001</v>
      </c>
    </row>
    <row r="3" spans="1:2" x14ac:dyDescent="0.25">
      <c r="A3" s="6" t="s">
        <v>14</v>
      </c>
      <c r="B3" s="5">
        <v>93.469399999999993</v>
      </c>
    </row>
    <row r="4" spans="1:2" x14ac:dyDescent="0.25">
      <c r="A4" s="6" t="s">
        <v>17</v>
      </c>
      <c r="B4" s="5">
        <v>60</v>
      </c>
    </row>
    <row r="5" spans="1:2" x14ac:dyDescent="0.25">
      <c r="A5" s="6" t="s">
        <v>58</v>
      </c>
      <c r="B5" s="5">
        <v>111.64400000000001</v>
      </c>
    </row>
    <row r="6" spans="1:2" x14ac:dyDescent="0.25">
      <c r="A6" s="6" t="s">
        <v>73</v>
      </c>
      <c r="B6" s="5">
        <v>439.1764</v>
      </c>
    </row>
    <row r="7" spans="1:2" x14ac:dyDescent="0.25">
      <c r="A7" s="6" t="s">
        <v>88</v>
      </c>
      <c r="B7" s="5">
        <v>270</v>
      </c>
    </row>
    <row r="8" spans="1:2" x14ac:dyDescent="0.25">
      <c r="A8" s="4" t="s">
        <v>106</v>
      </c>
      <c r="B8" s="5">
        <v>974.28980000000001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3</vt:i4>
      </vt:variant>
    </vt:vector>
  </HeadingPairs>
  <TitlesOfParts>
    <vt:vector size="6" baseType="lpstr">
      <vt:lpstr>Criterios</vt:lpstr>
      <vt:lpstr>Resultados</vt:lpstr>
      <vt:lpstr>Tabla_Dinamica</vt:lpstr>
      <vt:lpstr>'Datos Importados'!Criteria</vt:lpstr>
      <vt:lpstr>auxiliar!Extract</vt:lpstr>
      <vt:lpstr>Resultados!Extract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Juan</dc:creator>
  <cp:lastModifiedBy>Andrea</cp:lastModifiedBy>
  <dcterms:created xsi:type="dcterms:W3CDTF">2013-11-14T11:54:02Z</dcterms:created>
  <dcterms:modified xsi:type="dcterms:W3CDTF">2019-11-17T10:05:58Z</dcterms:modified>
</cp:coreProperties>
</file>